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e Tracker Backup" state="visible" r:id="rId4"/>
  </sheets>
  <calcPr calcId="171027" fullCalcOnLoad="1"/>
</workbook>
</file>

<file path=xl/sharedStrings.xml><?xml version="1.0" encoding="utf-8"?>
<sst xmlns="http://schemas.openxmlformats.org/spreadsheetml/2006/main" count="112" uniqueCount="34">
  <si>
    <t>Client</t>
  </si>
  <si>
    <t>Project</t>
  </si>
  <si>
    <t>Description</t>
  </si>
  <si>
    <t>Start date</t>
  </si>
  <si>
    <t>Start time</t>
  </si>
  <si>
    <t>End date</t>
  </si>
  <si>
    <t>End time</t>
  </si>
  <si>
    <t>Duration</t>
  </si>
  <si>
    <t>Billable</t>
  </si>
  <si>
    <t>Acme</t>
  </si>
  <si>
    <t>Website</t>
  </si>
  <si>
    <t>Development</t>
  </si>
  <si>
    <t>03:45</t>
  </si>
  <si>
    <t>02:30</t>
  </si>
  <si>
    <t>04:00</t>
  </si>
  <si>
    <t>04:30</t>
  </si>
  <si>
    <t>00:30</t>
  </si>
  <si>
    <t>05:00</t>
  </si>
  <si>
    <t>03:00</t>
  </si>
  <si>
    <t>00:45</t>
  </si>
  <si>
    <t>01:15</t>
  </si>
  <si>
    <t>03:15</t>
  </si>
  <si>
    <t>01:45</t>
  </si>
  <si>
    <t>03:30</t>
  </si>
  <si>
    <t>06:30</t>
  </si>
  <si>
    <t>05:30</t>
  </si>
  <si>
    <t>04:15</t>
  </si>
  <si>
    <t/>
  </si>
  <si>
    <t>Billable subtotal</t>
  </si>
  <si>
    <t>VAT rate</t>
  </si>
  <si>
    <t>Total</t>
  </si>
  <si>
    <t>Total (VAT excluded)</t>
  </si>
  <si>
    <t>VAT</t>
  </si>
  <si>
    <t>Total billable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</si>
</sst>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hh:mm:ss"/>
    <numFmt numFmtId="166" formatCode="#,##0.00 &quot;CHF&quot;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166" fontId="0" fillId="0" borderId="0" xfId="0" applyNumberFormat="1"/>
    <xf numFmtId="10" fontId="0" fillId="0" borderId="0" xfId="0" applyNumberFormat="1"/>
    <xf numFmtId="0" fontId="1" fillId="0" borderId="1" xfId="0" applyFont="1" applyBorder="1"/>
    <xf numFmtId="166" fontId="1" fillId="0" borderId="1" xfId="0" applyNumberFormat="1" applyFont="1" applyBorder="1"/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Invoice" displayName="Invoice" ref="A1:I26" totalsRowCount="1" headerRowCount="1">
  <autoFilter ref="A1:I25">
    <filterColumn colId="0" hiddenButton="0"/>
    <filterColumn colId="1" hiddenButton="0"/>
    <filterColumn colId="2" hiddenButton="0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Client" totalsRowLabel=""/>
    <tableColumn id="2" name="Project" totalsRowLabel="" totalsRowFunction="none"/>
    <tableColumn id="3" name="Description" totalsRowLabel="" totalsRowFunction="none"/>
    <tableColumn id="4" name="Start date" totalsRowFunction="none"/>
    <tableColumn id="5" name="Start time" totalsRowFunction="none"/>
    <tableColumn id="6" name="End date" totalsRowFunction="none"/>
    <tableColumn id="7" name="End time" totalsRowFunction="none"/>
    <tableColumn id="8" name="Duration" totalsRowFunction="custom"/>
    <tableColumn id="9" name="Billable" totalsRowFunction="sum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2" width="30" customWidth="1"/>
    <col min="3" max="3" width="50" customWidth="1"/>
    <col min="4" max="7" width="10" customWidth="1"/>
    <col min="9" max="9" width="16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s="1">
        <v>46118.3125</v>
      </c>
      <c r="E2" s="2">
        <v>46118.3125</v>
      </c>
      <c r="F2" s="1">
        <v>46118.46875</v>
      </c>
      <c r="G2" s="2">
        <v>46118.46875</v>
      </c>
      <c r="H2" s="3" t="s">
        <v>12</v>
      </c>
      <c r="I2" s="4">
        <v>75</v>
      </c>
    </row>
    <row r="3" spans="1:9" x14ac:dyDescent="0.25">
      <c r="A3" t="s">
        <v>9</v>
      </c>
      <c r="B3" t="s">
        <v>10</v>
      </c>
      <c r="C3" t="s">
        <v>11</v>
      </c>
      <c r="D3" s="1">
        <v>46118.52084240741</v>
      </c>
      <c r="E3" s="2">
        <v>46118.52084240741</v>
      </c>
      <c r="F3" s="1">
        <v>46118.62500907407</v>
      </c>
      <c r="G3" s="2">
        <v>46118.62500907407</v>
      </c>
      <c r="H3" s="3" t="s">
        <v>13</v>
      </c>
      <c r="I3" s="4">
        <v>50</v>
      </c>
    </row>
    <row r="4" spans="1:9" x14ac:dyDescent="0.25">
      <c r="A4" t="s">
        <v>9</v>
      </c>
      <c r="B4" t="s">
        <v>10</v>
      </c>
      <c r="C4" t="s">
        <v>11</v>
      </c>
      <c r="D4" s="1">
        <v>46119.25</v>
      </c>
      <c r="E4" s="2">
        <v>46119.25</v>
      </c>
      <c r="F4" s="1">
        <v>46119.41666666667</v>
      </c>
      <c r="G4" s="2">
        <v>46119.41666666667</v>
      </c>
      <c r="H4" s="3" t="s">
        <v>14</v>
      </c>
      <c r="I4" s="4">
        <v>80</v>
      </c>
    </row>
    <row r="5" spans="1:9" x14ac:dyDescent="0.25">
      <c r="A5" t="s">
        <v>9</v>
      </c>
      <c r="B5" t="s">
        <v>10</v>
      </c>
      <c r="C5" t="s">
        <v>11</v>
      </c>
      <c r="D5" s="1">
        <v>46119.46875</v>
      </c>
      <c r="E5" s="2">
        <v>46119.46875</v>
      </c>
      <c r="F5" s="1">
        <v>46119.65625</v>
      </c>
      <c r="G5" s="2">
        <v>46119.65625</v>
      </c>
      <c r="H5" s="3" t="s">
        <v>15</v>
      </c>
      <c r="I5" s="4">
        <v>90</v>
      </c>
    </row>
    <row r="6" spans="1:9" x14ac:dyDescent="0.25">
      <c r="A6" t="s">
        <v>9</v>
      </c>
      <c r="B6" t="s">
        <v>10</v>
      </c>
      <c r="C6" t="s">
        <v>11</v>
      </c>
      <c r="D6" s="1">
        <v>46119.67708767361</v>
      </c>
      <c r="E6" s="2">
        <v>46119.67708767361</v>
      </c>
      <c r="F6" s="1">
        <v>46119.69792100694</v>
      </c>
      <c r="G6" s="2">
        <v>46119.69792100694</v>
      </c>
      <c r="H6" s="3" t="s">
        <v>16</v>
      </c>
      <c r="I6" s="4">
        <v>10</v>
      </c>
    </row>
    <row r="7" spans="1:9" x14ac:dyDescent="0.25">
      <c r="A7" t="s">
        <v>9</v>
      </c>
      <c r="B7" t="s">
        <v>10</v>
      </c>
      <c r="C7" t="s">
        <v>11</v>
      </c>
      <c r="D7" s="1">
        <v>46120.256944444445</v>
      </c>
      <c r="E7" s="2">
        <v>46120.256944444445</v>
      </c>
      <c r="F7" s="1">
        <v>46120.46527777778</v>
      </c>
      <c r="G7" s="2">
        <v>46120.46527777778</v>
      </c>
      <c r="H7" s="3" t="s">
        <v>17</v>
      </c>
      <c r="I7" s="4">
        <v>100</v>
      </c>
    </row>
    <row r="8" spans="1:9" x14ac:dyDescent="0.25">
      <c r="A8" t="s">
        <v>9</v>
      </c>
      <c r="B8" t="s">
        <v>10</v>
      </c>
      <c r="C8" t="s">
        <v>11</v>
      </c>
      <c r="D8" s="1">
        <v>46120.506944444445</v>
      </c>
      <c r="E8" s="2">
        <v>46120.506944444445</v>
      </c>
      <c r="F8" s="1">
        <v>46120.631944444445</v>
      </c>
      <c r="G8" s="2">
        <v>46120.631944444445</v>
      </c>
      <c r="H8" s="3" t="s">
        <v>18</v>
      </c>
      <c r="I8" s="4">
        <v>60</v>
      </c>
    </row>
    <row r="9" spans="1:9" x14ac:dyDescent="0.25">
      <c r="A9" t="s">
        <v>9</v>
      </c>
      <c r="B9" t="s">
        <v>10</v>
      </c>
      <c r="C9" t="s">
        <v>11</v>
      </c>
      <c r="D9" s="1">
        <v>46120.64236167824</v>
      </c>
      <c r="E9" s="2">
        <v>46120.64236167824</v>
      </c>
      <c r="F9" s="1">
        <v>46120.80902834491</v>
      </c>
      <c r="G9" s="2">
        <v>46120.80902834491</v>
      </c>
      <c r="H9" s="3" t="s">
        <v>14</v>
      </c>
      <c r="I9" s="4">
        <v>80</v>
      </c>
    </row>
    <row r="10" spans="1:9" x14ac:dyDescent="0.25">
      <c r="A10" t="s">
        <v>9</v>
      </c>
      <c r="B10" t="s">
        <v>10</v>
      </c>
      <c r="C10" t="s">
        <v>11</v>
      </c>
      <c r="D10" s="1">
        <v>46120.833342094906</v>
      </c>
      <c r="E10" s="2">
        <v>46120.833342094906</v>
      </c>
      <c r="F10" s="1">
        <v>46120.864592094906</v>
      </c>
      <c r="G10" s="2">
        <v>46120.864592094906</v>
      </c>
      <c r="H10" s="3" t="s">
        <v>19</v>
      </c>
      <c r="I10" s="4">
        <v>15</v>
      </c>
    </row>
    <row r="11" spans="1:9" x14ac:dyDescent="0.25">
      <c r="A11" t="s">
        <v>9</v>
      </c>
      <c r="B11" t="s">
        <v>10</v>
      </c>
      <c r="C11" t="s">
        <v>11</v>
      </c>
      <c r="D11" s="1">
        <v>46120.88889480324</v>
      </c>
      <c r="E11" s="2">
        <v>46120.88889480324</v>
      </c>
      <c r="F11" s="1">
        <v>46120.940978136576</v>
      </c>
      <c r="G11" s="2">
        <v>46120.940978136576</v>
      </c>
      <c r="H11" s="3" t="s">
        <v>20</v>
      </c>
      <c r="I11" s="4">
        <v>25</v>
      </c>
    </row>
    <row r="12" spans="1:9" x14ac:dyDescent="0.25">
      <c r="A12" t="s">
        <v>9</v>
      </c>
      <c r="B12" t="s">
        <v>10</v>
      </c>
      <c r="C12" t="s">
        <v>11</v>
      </c>
      <c r="D12" s="1">
        <v>46121.256944444445</v>
      </c>
      <c r="E12" s="2">
        <v>46121.256944444445</v>
      </c>
      <c r="F12" s="1">
        <v>46121.413194444445</v>
      </c>
      <c r="G12" s="2">
        <v>46121.413194444445</v>
      </c>
      <c r="H12" s="3" t="s">
        <v>12</v>
      </c>
      <c r="I12" s="4">
        <v>75</v>
      </c>
    </row>
    <row r="13" spans="1:9" x14ac:dyDescent="0.25">
      <c r="A13" t="s">
        <v>9</v>
      </c>
      <c r="B13" t="s">
        <v>10</v>
      </c>
      <c r="C13" t="s">
        <v>11</v>
      </c>
      <c r="D13" s="1">
        <v>46121.46875</v>
      </c>
      <c r="E13" s="2">
        <v>46121.46875</v>
      </c>
      <c r="F13" s="1">
        <v>46121.625</v>
      </c>
      <c r="G13" s="2">
        <v>46121.625</v>
      </c>
      <c r="H13" s="3" t="s">
        <v>12</v>
      </c>
      <c r="I13" s="4">
        <v>75</v>
      </c>
    </row>
    <row r="14" spans="1:9" x14ac:dyDescent="0.25">
      <c r="A14" t="s">
        <v>9</v>
      </c>
      <c r="B14" t="s">
        <v>10</v>
      </c>
      <c r="C14" t="s">
        <v>11</v>
      </c>
      <c r="D14" s="1">
        <v>46123.34376034723</v>
      </c>
      <c r="E14" s="2">
        <v>46123.34376034723</v>
      </c>
      <c r="F14" s="1">
        <v>46123.47917701388</v>
      </c>
      <c r="G14" s="2">
        <v>46123.47917701388</v>
      </c>
      <c r="H14" s="3" t="s">
        <v>21</v>
      </c>
      <c r="I14" s="4">
        <v>65</v>
      </c>
    </row>
    <row r="15" spans="1:9" x14ac:dyDescent="0.25">
      <c r="A15" t="s">
        <v>9</v>
      </c>
      <c r="B15" t="s">
        <v>10</v>
      </c>
      <c r="C15" t="s">
        <v>11</v>
      </c>
      <c r="D15" s="1">
        <v>46125.24652777778</v>
      </c>
      <c r="E15" s="2">
        <v>46125.24652777778</v>
      </c>
      <c r="F15" s="1">
        <v>46125.381944444445</v>
      </c>
      <c r="G15" s="2">
        <v>46125.381944444445</v>
      </c>
      <c r="H15" s="3" t="s">
        <v>21</v>
      </c>
      <c r="I15" s="4">
        <v>65</v>
      </c>
    </row>
    <row r="16" spans="1:9" x14ac:dyDescent="0.25">
      <c r="A16" t="s">
        <v>9</v>
      </c>
      <c r="B16" t="s">
        <v>10</v>
      </c>
      <c r="C16" t="s">
        <v>11</v>
      </c>
      <c r="D16" s="1">
        <v>46125.43402777778</v>
      </c>
      <c r="E16" s="2">
        <v>46125.43402777778</v>
      </c>
      <c r="F16" s="1">
        <v>46125.506944444445</v>
      </c>
      <c r="G16" s="2">
        <v>46125.506944444445</v>
      </c>
      <c r="H16" s="3" t="s">
        <v>22</v>
      </c>
      <c r="I16" s="4">
        <v>35</v>
      </c>
    </row>
    <row r="17" spans="1:9" x14ac:dyDescent="0.25">
      <c r="A17" t="s">
        <v>9</v>
      </c>
      <c r="B17" t="s">
        <v>10</v>
      </c>
      <c r="C17" t="s">
        <v>11</v>
      </c>
      <c r="D17" s="1">
        <v>46125.53472222222</v>
      </c>
      <c r="E17" s="2">
        <v>46125.53472222222</v>
      </c>
      <c r="F17" s="1">
        <v>46125.70138888889</v>
      </c>
      <c r="G17" s="2">
        <v>46125.70138888889</v>
      </c>
      <c r="H17" s="3" t="s">
        <v>14</v>
      </c>
      <c r="I17" s="4">
        <v>80</v>
      </c>
    </row>
    <row r="18" spans="1:9" x14ac:dyDescent="0.25">
      <c r="A18" t="s">
        <v>9</v>
      </c>
      <c r="B18" t="s">
        <v>10</v>
      </c>
      <c r="C18" t="s">
        <v>11</v>
      </c>
      <c r="D18" s="1">
        <v>46125.71876045139</v>
      </c>
      <c r="E18" s="2">
        <v>46125.71876045139</v>
      </c>
      <c r="F18" s="1">
        <v>46125.86459378472</v>
      </c>
      <c r="G18" s="2">
        <v>46125.86459378472</v>
      </c>
      <c r="H18" s="3" t="s">
        <v>23</v>
      </c>
      <c r="I18" s="4">
        <v>70</v>
      </c>
    </row>
    <row r="19" spans="1:9" x14ac:dyDescent="0.25">
      <c r="A19" t="s">
        <v>9</v>
      </c>
      <c r="B19" t="s">
        <v>10</v>
      </c>
      <c r="C19" t="s">
        <v>11</v>
      </c>
      <c r="D19" s="1">
        <v>46126.25</v>
      </c>
      <c r="E19" s="2">
        <v>46126.25</v>
      </c>
      <c r="F19" s="1">
        <v>46126.41666666667</v>
      </c>
      <c r="G19" s="2">
        <v>46126.41666666667</v>
      </c>
      <c r="H19" s="3" t="s">
        <v>14</v>
      </c>
      <c r="I19" s="4">
        <v>80</v>
      </c>
    </row>
    <row r="20" spans="1:9" x14ac:dyDescent="0.25">
      <c r="A20" t="s">
        <v>9</v>
      </c>
      <c r="B20" t="s">
        <v>10</v>
      </c>
      <c r="C20" t="s">
        <v>11</v>
      </c>
      <c r="D20" s="1">
        <v>46126.46527777778</v>
      </c>
      <c r="E20" s="2">
        <v>46126.46527777778</v>
      </c>
      <c r="F20" s="1">
        <v>46126.73611111111</v>
      </c>
      <c r="G20" s="2">
        <v>46126.73611111111</v>
      </c>
      <c r="H20" s="3" t="s">
        <v>24</v>
      </c>
      <c r="I20" s="4">
        <v>130</v>
      </c>
    </row>
    <row r="21" spans="1:9" x14ac:dyDescent="0.25">
      <c r="A21" t="s">
        <v>9</v>
      </c>
      <c r="B21" t="s">
        <v>10</v>
      </c>
      <c r="C21" t="s">
        <v>11</v>
      </c>
      <c r="D21" s="1">
        <v>46127.24652777778</v>
      </c>
      <c r="E21" s="2">
        <v>46127.24652777778</v>
      </c>
      <c r="F21" s="1">
        <v>46127.475694444445</v>
      </c>
      <c r="G21" s="2">
        <v>46127.475694444445</v>
      </c>
      <c r="H21" s="3" t="s">
        <v>25</v>
      </c>
      <c r="I21" s="4">
        <v>110</v>
      </c>
    </row>
    <row r="22" spans="1:9" x14ac:dyDescent="0.25">
      <c r="A22" t="s">
        <v>9</v>
      </c>
      <c r="B22" t="s">
        <v>10</v>
      </c>
      <c r="C22" t="s">
        <v>11</v>
      </c>
      <c r="D22" s="1">
        <v>46127.51041666667</v>
      </c>
      <c r="E22" s="2">
        <v>46127.51041666667</v>
      </c>
      <c r="F22" s="1">
        <v>46127.61458333333</v>
      </c>
      <c r="G22" s="2">
        <v>46127.61458333333</v>
      </c>
      <c r="H22" s="3" t="s">
        <v>13</v>
      </c>
      <c r="I22" s="4">
        <v>50</v>
      </c>
    </row>
    <row r="23" spans="1:9" x14ac:dyDescent="0.25">
      <c r="A23" t="s">
        <v>9</v>
      </c>
      <c r="B23" t="s">
        <v>10</v>
      </c>
      <c r="C23" t="s">
        <v>11</v>
      </c>
      <c r="D23" s="1">
        <v>46127.63195065972</v>
      </c>
      <c r="E23" s="2">
        <v>46127.63195065972</v>
      </c>
      <c r="F23" s="1">
        <v>46127.79861732639</v>
      </c>
      <c r="G23" s="2">
        <v>46127.79861732639</v>
      </c>
      <c r="H23" s="3" t="s">
        <v>14</v>
      </c>
      <c r="I23" s="4">
        <v>80</v>
      </c>
    </row>
    <row r="24" spans="1:9" x14ac:dyDescent="0.25">
      <c r="A24" t="s">
        <v>9</v>
      </c>
      <c r="B24" t="s">
        <v>10</v>
      </c>
      <c r="C24" t="s">
        <v>11</v>
      </c>
      <c r="D24" s="1">
        <v>46128.25347222222</v>
      </c>
      <c r="E24" s="2">
        <v>46128.25347222222</v>
      </c>
      <c r="F24" s="1">
        <v>46128.430555555555</v>
      </c>
      <c r="G24" s="2">
        <v>46128.430555555555</v>
      </c>
      <c r="H24" s="3" t="s">
        <v>26</v>
      </c>
      <c r="I24" s="4">
        <v>85</v>
      </c>
    </row>
    <row r="25" spans="1:9" x14ac:dyDescent="0.25">
      <c r="A25" t="s">
        <v>9</v>
      </c>
      <c r="B25" t="s">
        <v>10</v>
      </c>
      <c r="C25" t="s">
        <v>11</v>
      </c>
      <c r="D25" s="1">
        <v>46128.47222222222</v>
      </c>
      <c r="E25" s="2">
        <v>46128.47222222222</v>
      </c>
      <c r="F25" s="1">
        <v>46128.59722222222</v>
      </c>
      <c r="G25" s="2">
        <v>46128.59722222222</v>
      </c>
      <c r="H25" s="3" t="s">
        <v>18</v>
      </c>
      <c r="I25" s="4">
        <v>60</v>
      </c>
    </row>
    <row r="26" spans="1:9" x14ac:dyDescent="0.25">
      <c r="A26" t="s">
        <v>27</v>
      </c>
      <c r="H26" s="3">
        <f>"0NaN:0NaN"</f>
      </c>
      <c r="I26" s="4">
        <f>SUBTOTAL(109,Invoice[Billable])</f>
      </c>
    </row>
    <row r="28" spans="7:9" x14ac:dyDescent="0.25">
      <c r="G28" t="s">
        <v>28</v>
      </c>
      <c r="H28"/>
      <c r="I28" s="4">
        <f>I26</f>
      </c>
    </row>
    <row r="30" spans="7:9" x14ac:dyDescent="0.25">
      <c r="G30" t="s">
        <v>29</v>
      </c>
      <c r="H30"/>
      <c r="I30" s="5">
        <v>0.081</v>
      </c>
    </row>
    <row r="32" spans="7:9" x14ac:dyDescent="0.25">
      <c r="G32" s="6" t="s">
        <v>30</v>
      </c>
      <c r="H32" s="6"/>
      <c r="I32" s="7">
        <f>ROUND((I26+(I26*I30))/5,2)*5</f>
      </c>
    </row>
    <row r="34" spans="7:9" x14ac:dyDescent="0.25">
      <c r="G34" t="s">
        <v>31</v>
      </c>
      <c r="H34"/>
      <c r="I34" s="4">
        <f>ROUND((I32*100/(100+(I30*100)))/5,2)*5</f>
      </c>
    </row>
    <row r="35" spans="7:9" x14ac:dyDescent="0.25">
      <c r="G35" t="s">
        <v>32</v>
      </c>
      <c r="H35"/>
      <c r="I35" s="4">
        <f>ROUND((I32*(I30*100)/(100+(I30*100)))/5,2)*5</f>
      </c>
    </row>
    <row r="37" spans="7:9" x14ac:dyDescent="0.25">
      <c r="G37" t="s">
        <v>33</v>
      </c>
      <c r="H37"/>
      <c r="I37" s="8">
        <f>H26</f>
      </c>
    </row>
  </sheetData>
  <mergeCells count="6">
    <mergeCell ref="G28:H28"/>
    <mergeCell ref="G30:H30"/>
    <mergeCell ref="G32:H32"/>
    <mergeCell ref="G34:H34"/>
    <mergeCell ref="G35:H35"/>
    <mergeCell ref="G37:H37"/>
  </mergeCells>
  <pageMargins left="0.7" right="0.7" top="0.75" bottom="0.75" header="0.3" footer="0.3"/>
  <pageSetup paperSize="9" orientation="landscape" horizontalDpi="4294967295" verticalDpi="4294967295" scale="100" fitToWidth="1" fitToHeight="1"/>
  <headerFooter>
    <oddFooter>Demo GmbH - 2026-07-14</oddFooter>
    <firstFooter>Demo GmbH - 2026-07-14</first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Tie Tracker Backup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 Tracker</dc:creator>
  <dc:title/>
  <dc:subject/>
  <dc:description/>
  <cp:keywords/>
  <cp:category/>
  <cp:lastModifiedBy>Tie Tracker</cp:lastModifiedBy>
  <dcterms:created xsi:type="dcterms:W3CDTF">2026-07-14T11:12:14Z</dcterms:created>
  <dcterms:modified xsi:type="dcterms:W3CDTF">2026-07-14T11:12:14Z</dcterms:modified>
</cp:coreProperties>
</file>